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200" windowHeight="8055" tabRatio="833"/>
  </bookViews>
  <sheets>
    <sheet name="SAMPLE_SOIL" sheetId="55" r:id="rId1"/>
    <sheet name="SAMPLE_GROUNDWATER" sheetId="57" r:id="rId2"/>
  </sheets>
  <definedNames>
    <definedName name="_xlnm._FilterDatabase" localSheetId="0" hidden="1">SAMPLE_SOIL!$B$1:$B$43</definedName>
    <definedName name="_xlnm._FilterDatabase" localSheetId="1" hidden="1">SAMPLE_GROUNDWATER!$B$1:$B$9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<sst xmlns="http://schemas.openxmlformats.org/spreadsheetml/2006/main" count="92" uniqueCount="37">
  <si>
    <t>污染物</t>
  </si>
  <si>
    <t>污染物别名</t>
  </si>
  <si>
    <t>污染类别</t>
  </si>
  <si>
    <t>单位</t>
  </si>
  <si>
    <t>报告限</t>
  </si>
  <si>
    <t>筛选值</t>
  </si>
  <si>
    <t>修复目标值</t>
  </si>
  <si>
    <t>无规划</t>
  </si>
  <si>
    <t>规划二类用地</t>
  </si>
  <si>
    <t>规划一类用地</t>
  </si>
  <si>
    <r>
      <rPr>
        <sz val="11"/>
        <color theme="1"/>
        <rFont val="等线"/>
        <charset val="134"/>
        <scheme val="minor"/>
      </rPr>
      <t>A</t>
    </r>
    <r>
      <rPr>
        <b/>
        <sz val="12"/>
        <rFont val="等线"/>
        <charset val="134"/>
      </rPr>
      <t>LL</t>
    </r>
  </si>
  <si>
    <t>ALL</t>
  </si>
  <si>
    <t>pH</t>
  </si>
  <si>
    <t>一般指标</t>
  </si>
  <si>
    <t>无量纲</t>
  </si>
  <si>
    <t>干物质</t>
  </si>
  <si>
    <t>%</t>
  </si>
  <si>
    <t>钛</t>
  </si>
  <si>
    <t>HMs</t>
  </si>
  <si>
    <t>mg/kg</t>
  </si>
  <si>
    <t>六价铬</t>
  </si>
  <si>
    <t>汞</t>
  </si>
  <si>
    <t>苊烯</t>
  </si>
  <si>
    <t>PAHs</t>
  </si>
  <si>
    <t>苯并(g,h,i)苝</t>
  </si>
  <si>
    <t>荧蒽</t>
  </si>
  <si>
    <t>菲</t>
  </si>
  <si>
    <t>蒽</t>
  </si>
  <si>
    <t>III类</t>
  </si>
  <si>
    <t>IV类</t>
  </si>
  <si>
    <t>μg/L</t>
  </si>
  <si>
    <t>砷</t>
  </si>
  <si>
    <t>铅</t>
  </si>
  <si>
    <t>苯胺</t>
  </si>
  <si>
    <t>SVOC</t>
  </si>
  <si>
    <t>茚并(1,2,3-cd)芘</t>
  </si>
  <si>
    <t>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</si>
</sst>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.00_ "/>
  </numFmts>
  <fonts count="28">
    <font>
      <sz val="11"/>
      <color theme="1"/>
      <name val="等线"/>
      <charset val="134"/>
      <scheme val="minor"/>
    </font>
    <font>
      <b/>
      <sz val="12"/>
      <name val="等线"/>
      <charset val="134"/>
      <scheme val="minor"/>
    </font>
    <font>
      <sz val="1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0.5"/>
      <name val="Times New Roman"/>
      <charset val="134"/>
    </font>
    <font>
      <sz val="11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134"/>
    </font>
    <font>
      <sz val="12"/>
      <name val="Arial"/>
      <charset val="134"/>
    </font>
    <font>
      <b/>
      <sz val="12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  <xf numFmtId="176" fontId="0" fillId="0" borderId="0">
      <alignment vertical="center"/>
    </xf>
    <xf numFmtId="176" fontId="0" fillId="0" borderId="0">
      <alignment vertical="center"/>
    </xf>
    <xf numFmtId="0" fontId="26" fillId="0" borderId="0"/>
    <xf numFmtId="0" fontId="25" fillId="0" borderId="0" applyNumberForma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5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0" fillId="0" borderId="0"/>
    <xf numFmtId="0" fontId="0" fillId="0" borderId="0"/>
    <xf numFmtId="0" fontId="25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vertical="center"/>
    </xf>
    <xf numFmtId="0" fontId="0" fillId="0" borderId="0" xfId="54" applyAlignment="1">
      <alignment horizontal="center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0" borderId="0" xfId="0" applyFon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center" vertical="center"/>
    </xf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</cellXfs>
  <cellStyles count="7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Migliaia_Sheet1" xfId="49"/>
    <cellStyle name="Normal 7" xfId="50"/>
    <cellStyle name="Normal 7 2" xfId="51"/>
    <cellStyle name="Normal_050009&amp;11-ENSR CH05005" xfId="52"/>
    <cellStyle name="常规 10" xfId="53"/>
    <cellStyle name="常规 11" xfId="54"/>
    <cellStyle name="常规 15" xfId="55"/>
    <cellStyle name="常规 16" xfId="56"/>
    <cellStyle name="常规 2" xfId="57"/>
    <cellStyle name="常规 2 2" xfId="58"/>
    <cellStyle name="常规 2 2 2" xfId="59"/>
    <cellStyle name="常规 2 3" xfId="60"/>
    <cellStyle name="常规 2 4" xfId="61"/>
    <cellStyle name="常规 3" xfId="62"/>
    <cellStyle name="常规 3 2" xfId="63"/>
    <cellStyle name="常规 4" xfId="64"/>
    <cellStyle name="常规 4 2" xfId="65"/>
    <cellStyle name="常规 5" xfId="66"/>
    <cellStyle name="常规 5 2" xfId="67"/>
    <cellStyle name="常规 6" xfId="68"/>
    <cellStyle name="常规 6 2" xfId="69"/>
    <cellStyle name="常规 7" xfId="70"/>
    <cellStyle name="常规 8" xfId="71"/>
    <cellStyle name="常规 9" xfId="7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43"/>
  <sheetViews>
    <sheetView tabSelected="1" workbookViewId="0">
      <pane xSplit="4" ySplit="3" topLeftCell="E4" activePane="bottomRight" state="frozen"/>
      <selection/>
      <selection pane="topRight"/>
      <selection pane="bottomLeft"/>
      <selection pane="bottomRight" activeCell="I13" sqref="A1:I13"/>
    </sheetView>
  </sheetViews>
  <sheetFormatPr defaultColWidth="36.8672566371681" defaultRowHeight="13.85"/>
  <cols>
    <col min="1" max="1" width="15.7345132743363" style="1" customWidth="1"/>
    <col min="2" max="2" width="22.2654867256637" style="1" customWidth="1"/>
    <col min="3" max="3" width="11.3982300884956" style="2" customWidth="1"/>
    <col min="4" max="4" width="11.8672566371681" style="1" customWidth="1"/>
    <col min="5" max="5" width="12.1327433628319" style="1" customWidth="1"/>
    <col min="6" max="6" width="16.4690265486726" style="3" customWidth="1"/>
    <col min="7" max="7" width="16.4690265486726" style="1" customWidth="1"/>
    <col min="8" max="8" width="16.4690265486726" style="3" customWidth="1"/>
    <col min="9" max="9" width="16.4690265486726" style="1" customWidth="1"/>
    <col min="10" max="16384" width="36.8672566371681" style="1"/>
  </cols>
  <sheetData>
    <row r="1" ht="15" spans="1:9">
      <c r="A1" s="2" t="s">
        <v>0</v>
      </c>
      <c r="B1" s="2" t="s">
        <v>1</v>
      </c>
      <c r="C1" s="4" t="s">
        <v>2</v>
      </c>
      <c r="D1" s="2" t="s">
        <v>3</v>
      </c>
      <c r="E1" s="5" t="s">
        <v>4</v>
      </c>
      <c r="F1" s="6" t="s">
        <v>5</v>
      </c>
      <c r="G1" s="6" t="s">
        <v>5</v>
      </c>
      <c r="H1" s="6" t="s">
        <v>6</v>
      </c>
      <c r="I1" s="6" t="s">
        <v>6</v>
      </c>
    </row>
    <row r="2" ht="15" spans="1:9">
      <c r="A2" s="2"/>
      <c r="B2" s="2"/>
      <c r="C2" s="4"/>
      <c r="D2" s="2"/>
      <c r="E2" s="7" t="s">
        <v>7</v>
      </c>
      <c r="F2" s="7" t="s">
        <v>8</v>
      </c>
      <c r="G2" s="7" t="s">
        <v>9</v>
      </c>
      <c r="H2" s="7" t="s">
        <v>8</v>
      </c>
      <c r="I2" s="7" t="s">
        <v>9</v>
      </c>
    </row>
    <row r="3" ht="15.75" spans="1:9">
      <c r="A3" s="2"/>
      <c r="B3" s="2"/>
      <c r="C3" s="4"/>
      <c r="D3" s="2"/>
      <c r="E3" s="5" t="s">
        <v>10</v>
      </c>
      <c r="F3" s="9" t="s">
        <v>11</v>
      </c>
      <c r="G3" s="10" t="s">
        <v>11</v>
      </c>
      <c r="H3" s="9" t="s">
        <v>11</v>
      </c>
      <c r="I3" s="10" t="s">
        <v>11</v>
      </c>
    </row>
    <row r="4" s="11" customFormat="1" ht="14.6" spans="1:9">
      <c r="A4" t="str">
        <f t="shared" ref="A4:A13" si="0">"Z"&amp;SUBSTITUTE(SUBSTITUTE(SUBSTITUTE(SUBSTITUTE(SUBSTITUTE(SUBSTITUTE(SUBSTITUTE(SUBSTITUTE(SUBSTITUTE(SUBSTITUTE(SUBSTITUTE(B4,"&amp;",""),"]",""),"[",""),"、",""),"（",""),"）",""),",",""),")",""),"(",""),"-",""),"，","")</f>
        <v>ZpH</v>
      </c>
      <c r="B4" t="s">
        <v>12</v>
      </c>
      <c r="C4" s="11" t="s">
        <v>13</v>
      </c>
      <c r="D4" t="s">
        <v>14</v>
      </c>
      <c r="E4" s="12">
        <v>0.1</v>
      </c>
      <c r="F4" s="13">
        <v>10000000000</v>
      </c>
      <c r="G4" s="14">
        <v>10000000000</v>
      </c>
      <c r="H4" s="13">
        <v>10000000000</v>
      </c>
      <c r="I4" s="14">
        <v>10000000000</v>
      </c>
    </row>
    <row r="5" spans="1:9">
      <c r="A5" t="str">
        <f t="shared" si="0"/>
        <v>Z干物质</v>
      </c>
      <c r="B5" t="s">
        <v>15</v>
      </c>
      <c r="C5" s="11" t="s">
        <v>13</v>
      </c>
      <c r="D5" t="s">
        <v>16</v>
      </c>
      <c r="E5" s="12">
        <v>0.1</v>
      </c>
      <c r="F5" s="9">
        <v>10000000000</v>
      </c>
      <c r="G5" s="9">
        <v>10000000000</v>
      </c>
      <c r="H5" s="9">
        <v>10000000000</v>
      </c>
      <c r="I5" s="9">
        <v>10000000000</v>
      </c>
    </row>
    <row r="6" ht="14.6" spans="1:9">
      <c r="A6" t="str">
        <f t="shared" si="0"/>
        <v>Z钛</v>
      </c>
      <c r="B6" t="s">
        <v>17</v>
      </c>
      <c r="C6" s="2" t="s">
        <v>18</v>
      </c>
      <c r="D6" t="s">
        <v>19</v>
      </c>
      <c r="E6" s="12">
        <v>0.2</v>
      </c>
      <c r="F6" s="13">
        <v>748000</v>
      </c>
      <c r="G6" s="13">
        <v>125000</v>
      </c>
      <c r="H6" s="13">
        <v>948000</v>
      </c>
      <c r="I6" s="13">
        <v>425000</v>
      </c>
    </row>
    <row r="7" s="11" customFormat="1" ht="14.6" spans="1:9">
      <c r="A7" t="str">
        <f t="shared" si="0"/>
        <v>Z六价铬</v>
      </c>
      <c r="B7" t="s">
        <v>20</v>
      </c>
      <c r="C7" s="2" t="s">
        <v>18</v>
      </c>
      <c r="D7" t="s">
        <v>19</v>
      </c>
      <c r="E7" s="12">
        <v>0.5</v>
      </c>
      <c r="F7" s="13">
        <v>5.7</v>
      </c>
      <c r="G7" s="13">
        <v>3</v>
      </c>
      <c r="H7" s="13">
        <v>8.7</v>
      </c>
      <c r="I7" s="13">
        <v>5</v>
      </c>
    </row>
    <row r="8" ht="14.6" spans="1:9">
      <c r="A8" t="str">
        <f t="shared" si="0"/>
        <v>Z汞</v>
      </c>
      <c r="B8" t="s">
        <v>21</v>
      </c>
      <c r="C8" s="2" t="s">
        <v>18</v>
      </c>
      <c r="D8" t="s">
        <v>19</v>
      </c>
      <c r="E8" s="12">
        <v>0.002</v>
      </c>
      <c r="F8" s="13">
        <v>38</v>
      </c>
      <c r="G8" s="13">
        <v>8</v>
      </c>
      <c r="H8" s="13">
        <v>50</v>
      </c>
      <c r="I8" s="13">
        <v>20</v>
      </c>
    </row>
    <row r="9" ht="14.6" spans="1:9">
      <c r="A9" t="str">
        <f t="shared" si="0"/>
        <v>Z苊烯</v>
      </c>
      <c r="B9" t="s">
        <v>22</v>
      </c>
      <c r="C9" s="2" t="s">
        <v>23</v>
      </c>
      <c r="D9" t="s">
        <v>19</v>
      </c>
      <c r="E9" s="12">
        <v>0.09</v>
      </c>
      <c r="F9" s="13">
        <v>14400</v>
      </c>
      <c r="G9" s="14">
        <v>2120</v>
      </c>
      <c r="H9" s="13">
        <v>54400</v>
      </c>
      <c r="I9" s="14">
        <v>3120</v>
      </c>
    </row>
    <row r="10" ht="14.6" spans="1:9">
      <c r="A10" t="str">
        <f t="shared" si="0"/>
        <v>Z苯并ghi苝</v>
      </c>
      <c r="B10" t="s">
        <v>24</v>
      </c>
      <c r="C10" s="2" t="s">
        <v>23</v>
      </c>
      <c r="D10" t="s">
        <v>19</v>
      </c>
      <c r="E10" s="12">
        <v>0.1</v>
      </c>
      <c r="F10" s="13">
        <v>7190</v>
      </c>
      <c r="G10" s="13">
        <v>1060</v>
      </c>
      <c r="H10" s="13">
        <v>10190</v>
      </c>
      <c r="I10" s="13">
        <v>3060</v>
      </c>
    </row>
    <row r="11" ht="14.6" spans="1:9">
      <c r="A11" t="str">
        <f t="shared" si="0"/>
        <v>Z荧蒽</v>
      </c>
      <c r="B11" t="s">
        <v>25</v>
      </c>
      <c r="C11" s="2" t="s">
        <v>23</v>
      </c>
      <c r="D11" t="s">
        <v>19</v>
      </c>
      <c r="E11" s="12">
        <v>0.2</v>
      </c>
      <c r="F11" s="13">
        <v>10100</v>
      </c>
      <c r="G11" s="13">
        <v>1460</v>
      </c>
      <c r="H11" s="13">
        <v>20100</v>
      </c>
      <c r="I11" s="13">
        <v>6460</v>
      </c>
    </row>
    <row r="12" ht="14.6" spans="1:9">
      <c r="A12" t="str">
        <f t="shared" si="0"/>
        <v>Z菲</v>
      </c>
      <c r="B12" t="s">
        <v>26</v>
      </c>
      <c r="C12" s="2" t="s">
        <v>23</v>
      </c>
      <c r="D12" t="s">
        <v>19</v>
      </c>
      <c r="E12" s="12">
        <v>0.1</v>
      </c>
      <c r="F12" s="13">
        <v>7190</v>
      </c>
      <c r="G12" s="13">
        <v>1060</v>
      </c>
      <c r="H12" s="13">
        <v>10190</v>
      </c>
      <c r="I12" s="13">
        <v>4060</v>
      </c>
    </row>
    <row r="13" ht="14.6" spans="1:9">
      <c r="A13" t="str">
        <f t="shared" si="0"/>
        <v>Z蒽</v>
      </c>
      <c r="B13" t="s">
        <v>27</v>
      </c>
      <c r="C13" s="2" t="s">
        <v>23</v>
      </c>
      <c r="D13" t="s">
        <v>19</v>
      </c>
      <c r="E13" s="12">
        <v>0.1</v>
      </c>
      <c r="F13" s="13">
        <v>75800</v>
      </c>
      <c r="G13" s="13">
        <v>11000</v>
      </c>
      <c r="H13" s="13">
        <v>175800</v>
      </c>
      <c r="I13" s="13">
        <v>51000</v>
      </c>
    </row>
    <row r="14" spans="1:9">
      <c r="A14"/>
      <c r="B14"/>
    </row>
    <row r="15" spans="1:9">
      <c r="A15"/>
      <c r="B15"/>
    </row>
    <row r="16" spans="1:9">
      <c r="A16"/>
      <c r="B16"/>
    </row>
    <row r="17" spans="1:3">
      <c r="A17"/>
      <c r="B17"/>
    </row>
    <row r="18" spans="1:3">
      <c r="A18"/>
      <c r="B18"/>
    </row>
    <row r="19" spans="1:3">
      <c r="A19"/>
      <c r="B19"/>
    </row>
    <row r="20" spans="1:3">
      <c r="A20"/>
      <c r="B20"/>
      <c r="C20" s="15"/>
    </row>
    <row r="21" spans="1:3">
      <c r="A21"/>
      <c r="B21"/>
    </row>
    <row r="22" spans="1:3">
      <c r="A22"/>
      <c r="B22"/>
    </row>
    <row r="23" spans="1:3">
      <c r="A23"/>
      <c r="B23"/>
    </row>
    <row r="24" spans="1:3">
      <c r="A24"/>
      <c r="B24"/>
    </row>
    <row r="25" spans="1:3">
      <c r="A25"/>
      <c r="B25"/>
    </row>
    <row r="26" spans="1:3">
      <c r="A26"/>
      <c r="B26"/>
    </row>
    <row r="27" spans="1:3">
      <c r="A27"/>
      <c r="B27"/>
    </row>
    <row r="28" spans="1:3">
      <c r="A28"/>
      <c r="B28"/>
    </row>
    <row r="29" spans="1:3">
      <c r="A29"/>
      <c r="B29"/>
    </row>
    <row r="30" spans="1:3">
      <c r="A30"/>
      <c r="B30"/>
    </row>
    <row r="31" spans="1:3">
      <c r="A31"/>
      <c r="B31"/>
    </row>
    <row r="32" spans="1:3">
      <c r="A32"/>
      <c r="B32"/>
    </row>
    <row r="33" spans="1:2">
      <c r="A33"/>
      <c r="B33"/>
    </row>
    <row r="34" spans="1:2">
      <c r="A34"/>
      <c r="B34"/>
    </row>
    <row r="35" spans="1:2">
      <c r="A35"/>
      <c r="B35"/>
    </row>
    <row r="36" spans="1:2">
      <c r="A36"/>
      <c r="B36"/>
    </row>
    <row r="37" spans="1:2">
      <c r="A37"/>
      <c r="B37"/>
    </row>
    <row r="38" spans="1:2">
      <c r="A38"/>
      <c r="B38"/>
    </row>
    <row r="39" spans="1:2">
      <c r="A39"/>
      <c r="B39"/>
    </row>
    <row r="40" spans="1:2">
      <c r="A40"/>
      <c r="B40"/>
    </row>
    <row r="41" spans="1:2">
      <c r="A41"/>
      <c r="B41"/>
    </row>
    <row r="42" spans="1:2">
      <c r="A42"/>
      <c r="B42"/>
    </row>
    <row r="43" spans="1:2">
      <c r="A43"/>
      <c r="B43"/>
    </row>
  </sheetData>
  <mergeCells count="4">
    <mergeCell ref="A1:A3"/>
    <mergeCell ref="B1:B3"/>
    <mergeCell ref="C1:C3"/>
    <mergeCell ref="D1:D3"/>
  </mergeCells>
  <conditionalFormatting sqref="A1">
    <cfRule type="duplicateValues" dxfId="0" priority="1" stopIfTrue="1"/>
  </conditionalFormatting>
  <conditionalFormatting sqref="B1">
    <cfRule type="duplicateValues" dxfId="0" priority="2" stopIfTrue="1"/>
  </conditionalFormatting>
  <conditionalFormatting sqref="A4:A43">
    <cfRule type="duplicateValues" dxfId="0" priority="22" stopIfTrue="1"/>
  </conditionalFormatting>
  <conditionalFormatting sqref="B14:B1048576">
    <cfRule type="duplicateValues" dxfId="0" priority="24" stopIfTrue="1"/>
  </conditionalFormatting>
  <conditionalFormatting sqref="B7 B4">
    <cfRule type="duplicateValues" dxfId="0" priority="21" stopIfTrue="1"/>
  </conditionalFormatting>
  <pageMargins left="0.7" right="0.7" top="0.75" bottom="0.75" header="0.3" footer="0.3"/>
  <pageSetup paperSize="9" orientation="portrait" horizontalDpi="176" verticalDpi="144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8"/>
  <sheetViews>
    <sheetView workbookViewId="0">
      <pane xSplit="4" ySplit="3" topLeftCell="H4" activePane="bottomRight" state="frozen"/>
      <selection/>
      <selection pane="topRight"/>
      <selection pane="bottomLeft"/>
      <selection pane="bottomRight" activeCell="H1" sqref="H1"/>
    </sheetView>
  </sheetViews>
  <sheetFormatPr defaultColWidth="36.8672566371681" defaultRowHeight="13.85"/>
  <cols>
    <col min="1" max="1" width="15.7345132743363" style="1" customWidth="1"/>
    <col min="2" max="2" width="22.2654867256637" style="1" customWidth="1"/>
    <col min="3" max="3" width="11.3982300884956" style="2" customWidth="1"/>
    <col min="4" max="5" width="11.8672566371681" style="1" customWidth="1"/>
    <col min="6" max="6" width="20.4690265486726" style="1" customWidth="1"/>
    <col min="7" max="7" width="20.1327433628319" style="3" customWidth="1"/>
    <col min="8" max="8" width="20.4690265486726" style="1" customWidth="1"/>
    <col min="9" max="9" width="20.1327433628319" style="3" customWidth="1"/>
    <col min="10" max="10" width="16.4690265486726" style="1" customWidth="1"/>
    <col min="11" max="11" width="18.2654867256637" style="1" customWidth="1"/>
    <col min="12" max="16384" width="36.8672566371681" style="1"/>
  </cols>
  <sheetData>
    <row r="1" ht="15" spans="1:11">
      <c r="A1" s="2" t="s">
        <v>0</v>
      </c>
      <c r="B1" s="2" t="s">
        <v>1</v>
      </c>
      <c r="C1" s="4" t="s">
        <v>2</v>
      </c>
      <c r="D1" s="2" t="s">
        <v>3</v>
      </c>
      <c r="E1" s="5" t="s">
        <v>4</v>
      </c>
      <c r="F1" s="6" t="s">
        <v>28</v>
      </c>
      <c r="G1" s="6" t="s">
        <v>29</v>
      </c>
      <c r="H1" s="6" t="s">
        <v>28</v>
      </c>
      <c r="I1" s="6" t="s">
        <v>29</v>
      </c>
      <c r="J1" s="6" t="s">
        <v>28</v>
      </c>
      <c r="K1" s="6" t="s">
        <v>29</v>
      </c>
    </row>
    <row r="2" ht="15" spans="1:11">
      <c r="A2" s="2"/>
      <c r="B2" s="2"/>
      <c r="C2" s="4"/>
      <c r="D2" s="2"/>
      <c r="E2" s="7" t="s">
        <v>7</v>
      </c>
      <c r="F2" s="7" t="s">
        <v>7</v>
      </c>
      <c r="G2" s="7" t="s">
        <v>7</v>
      </c>
      <c r="H2" s="7" t="s">
        <v>8</v>
      </c>
      <c r="I2" s="7" t="s">
        <v>8</v>
      </c>
      <c r="J2" s="7" t="s">
        <v>9</v>
      </c>
      <c r="K2" s="7" t="s">
        <v>9</v>
      </c>
    </row>
    <row r="3" ht="15" spans="1:11">
      <c r="A3" s="2"/>
      <c r="B3" s="2"/>
      <c r="C3" s="4"/>
      <c r="D3" s="2"/>
      <c r="E3" s="5" t="s">
        <v>10</v>
      </c>
      <c r="F3" s="8" t="s">
        <v>10</v>
      </c>
      <c r="G3" s="9" t="s">
        <v>11</v>
      </c>
      <c r="H3" s="8" t="s">
        <v>10</v>
      </c>
      <c r="I3" s="9" t="s">
        <v>11</v>
      </c>
      <c r="J3" s="10" t="s">
        <v>11</v>
      </c>
      <c r="K3" s="10" t="s">
        <v>11</v>
      </c>
    </row>
    <row r="4" spans="1:11">
      <c r="A4" t="str">
        <f t="shared" ref="A4:A9" si="0">"Z"&amp;SUBSTITUTE(SUBSTITUTE(SUBSTITUTE(SUBSTITUTE(SUBSTITUTE(SUBSTITUTE(SUBSTITUTE(SUBSTITUTE(SUBSTITUTE(SUBSTITUTE(B4,"]",""),"[",""),"、",""),"（",""),"）",""),",",""),")",""),"(",""),"-",""),"，","")</f>
        <v>Z汞</v>
      </c>
      <c r="B4" t="s">
        <v>21</v>
      </c>
      <c r="C4" s="1" t="s">
        <v>18</v>
      </c>
      <c r="D4" t="s">
        <v>30</v>
      </c>
      <c r="E4">
        <v>0.04</v>
      </c>
      <c r="F4" s="1">
        <v>1</v>
      </c>
      <c r="G4" s="3">
        <v>2</v>
      </c>
      <c r="H4" s="1">
        <v>1</v>
      </c>
      <c r="I4" s="3">
        <v>2</v>
      </c>
      <c r="J4" s="1">
        <v>1</v>
      </c>
      <c r="K4" s="3">
        <v>2</v>
      </c>
    </row>
    <row r="5" spans="1:11">
      <c r="A5" t="str">
        <f t="shared" si="0"/>
        <v>Z砷</v>
      </c>
      <c r="B5" t="s">
        <v>31</v>
      </c>
      <c r="C5" s="1" t="s">
        <v>18</v>
      </c>
      <c r="D5" t="s">
        <v>30</v>
      </c>
      <c r="E5">
        <v>0.3</v>
      </c>
      <c r="F5" s="1">
        <v>10</v>
      </c>
      <c r="G5" s="3">
        <v>50</v>
      </c>
      <c r="H5" s="1">
        <v>10</v>
      </c>
      <c r="I5" s="3">
        <v>50</v>
      </c>
      <c r="J5" s="1">
        <v>10</v>
      </c>
      <c r="K5" s="3">
        <v>50</v>
      </c>
    </row>
    <row r="6" spans="1:11">
      <c r="A6" t="str">
        <f t="shared" si="0"/>
        <v>Z铅</v>
      </c>
      <c r="B6" t="s">
        <v>32</v>
      </c>
      <c r="C6" s="1" t="s">
        <v>18</v>
      </c>
      <c r="D6" t="s">
        <v>30</v>
      </c>
      <c r="E6">
        <v>0.09</v>
      </c>
      <c r="F6" s="1">
        <v>10</v>
      </c>
      <c r="G6" s="3">
        <v>100</v>
      </c>
      <c r="H6" s="1">
        <v>10</v>
      </c>
      <c r="I6" s="3">
        <v>100</v>
      </c>
      <c r="J6" s="1">
        <v>10</v>
      </c>
      <c r="K6" s="3">
        <v>100</v>
      </c>
    </row>
    <row r="7" spans="1:11">
      <c r="A7" t="str">
        <f t="shared" si="0"/>
        <v>Z苯胺</v>
      </c>
      <c r="B7" t="s">
        <v>33</v>
      </c>
      <c r="C7" s="1" t="s">
        <v>34</v>
      </c>
      <c r="D7" t="s">
        <v>30</v>
      </c>
      <c r="E7">
        <v>2.5</v>
      </c>
      <c r="F7" s="3">
        <v>7400</v>
      </c>
      <c r="G7" s="3">
        <v>7400</v>
      </c>
      <c r="H7" s="3">
        <v>7400</v>
      </c>
      <c r="I7" s="3">
        <v>7400</v>
      </c>
      <c r="J7" s="1">
        <v>2200</v>
      </c>
      <c r="K7" s="1">
        <v>2200</v>
      </c>
    </row>
    <row r="8" spans="1:11">
      <c r="A8" t="str">
        <f t="shared" si="0"/>
        <v>Z茚并123cd芘</v>
      </c>
      <c r="B8" t="s">
        <v>35</v>
      </c>
      <c r="C8" s="2" t="s">
        <v>23</v>
      </c>
      <c r="D8" t="s">
        <v>30</v>
      </c>
      <c r="E8">
        <v>0.05</v>
      </c>
      <c r="F8" s="3">
        <v>4.8</v>
      </c>
      <c r="G8" s="3">
        <v>4.8</v>
      </c>
      <c r="H8" s="3">
        <v>4.8</v>
      </c>
      <c r="I8" s="3">
        <v>4.8</v>
      </c>
      <c r="J8" s="1">
        <v>4.8</v>
      </c>
      <c r="K8" s="3">
        <v>4.8</v>
      </c>
    </row>
    <row r="9" spans="1:11">
      <c r="A9" t="str">
        <f t="shared" si="0"/>
        <v>Z萘</v>
      </c>
      <c r="B9" t="s">
        <v>36</v>
      </c>
      <c r="C9" s="2" t="s">
        <v>23</v>
      </c>
      <c r="D9" t="s">
        <v>30</v>
      </c>
      <c r="E9">
        <v>0.5</v>
      </c>
      <c r="F9" s="1">
        <v>100</v>
      </c>
      <c r="G9" s="3">
        <v>600</v>
      </c>
      <c r="H9" s="1">
        <v>100</v>
      </c>
      <c r="I9" s="3">
        <v>600</v>
      </c>
      <c r="J9" s="1">
        <v>100</v>
      </c>
      <c r="K9" s="3">
        <v>600</v>
      </c>
    </row>
    <row r="10" spans="1:11">
      <c r="E10"/>
    </row>
    <row r="11" spans="1:11">
      <c r="E11"/>
    </row>
    <row r="12" spans="1:11">
      <c r="E12"/>
    </row>
    <row r="13" spans="1:11">
      <c r="E13"/>
    </row>
    <row r="14" spans="1:11">
      <c r="E14"/>
    </row>
    <row r="15" spans="1:11">
      <c r="E15"/>
    </row>
    <row r="16" spans="1:11">
      <c r="E16"/>
    </row>
    <row r="17" spans="5:5">
      <c r="E17"/>
    </row>
    <row r="18" spans="5:5">
      <c r="E18"/>
    </row>
  </sheetData>
  <mergeCells count="4">
    <mergeCell ref="A1:A3"/>
    <mergeCell ref="B1:B3"/>
    <mergeCell ref="C1:C3"/>
    <mergeCell ref="D1:D3"/>
  </mergeCells>
  <conditionalFormatting sqref="A1">
    <cfRule type="duplicateValues" dxfId="0" priority="2" stopIfTrue="1"/>
  </conditionalFormatting>
  <conditionalFormatting sqref="B1">
    <cfRule type="duplicateValues" dxfId="0" priority="3" stopIfTrue="1"/>
  </conditionalFormatting>
  <conditionalFormatting sqref="A4:A9">
    <cfRule type="duplicateValues" dxfId="0" priority="72" stopIfTrue="1"/>
  </conditionalFormatting>
  <conditionalFormatting sqref="B4:B1048576">
    <cfRule type="duplicateValues" dxfId="0" priority="7" stopIfTrue="1"/>
  </conditionalFormatting>
  <pageMargins left="0.7" right="0.7" top="0.75" bottom="0.75" header="0.3" footer="0.3"/>
  <pageSetup paperSize="9" orientation="portrait" horizontalDpi="176" verticalDpi="144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SAMPLE_SOIL</vt:lpstr>
      <vt:lpstr>SAMPLE_GROUNDWATER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</dc:creator>
  <cp:lastModifiedBy>权腾</cp:lastModifiedBy>
  <dcterms:created xsi:type="dcterms:W3CDTF">2015-06-05T18:19:00Z</dcterms:created>
  <dcterms:modified xsi:type="dcterms:W3CDTF">2026-01-20T08:24:11Z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44355ECE0E6F495A88EEA9BAF3B6AE9F</vt:lpwstr>
  </property>
  <property fmtid="{D5CDD505-2E9C-101B-9397-08002B2CF9AE}" pid="3" name="KSOProductBuildVer">
    <vt:lpwstr>2052-12.1.0.24655</vt:lpwstr>
  </property>
  <property fmtid="{D5CDD505-2E9C-101B-9397-08002B2CF9AE}" pid="4" name="CalculationRule">
    <vt:i4>0</vt:i4>
  </property>
</Properties>
</file>